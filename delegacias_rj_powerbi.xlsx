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11_1A12705FEDA20438CCFF2E769F9F45FEFABE8E0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sao Geral" sheetId="1" r:id="rId1"/>
    <sheet name="Dados_Delegacias" sheetId="2" r:id="rId2"/>
    <sheet name="Metricas_Resumo" sheetId="3" r:id="rId3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C10" i="1"/>
  <c r="C9" i="1"/>
</calcChain>
</file>

<file path=xl/sharedStrings.xml><?xml version="1.0" encoding="utf-8"?>
<sst xmlns="http://schemas.openxmlformats.org/spreadsheetml/2006/main" count="230" uniqueCount="126">
  <si>
    <t>PAINEL DE SEGURANÇA PÚBLICA - ROUBO DE VEÍCULOS (RJ)</t>
  </si>
  <si>
    <t>Guia de Apoio para Prática de Power BI - Aulas 17 &amp; 18</t>
  </si>
  <si>
    <t>Instrutor: Patrick Loureiro Monteiro de Araújo | Senac RJ</t>
  </si>
  <si>
    <t>Versão 1.0 | Gerado em 2026-08-12</t>
  </si>
  <si>
    <t>ESTRUTURA DO ARQUIVO (ABAS)</t>
  </si>
  <si>
    <t>Nome da Planilha</t>
  </si>
  <si>
    <t>Link de Acesso</t>
  </si>
  <si>
    <t>Descrição do Conteúdo</t>
  </si>
  <si>
    <t>Uso no Power BI</t>
  </si>
  <si>
    <t>Dados_Delegacias</t>
  </si>
  <si>
    <t>Tabela com 42 delegacias de polícia (CISP) reais do RJ, incluindo a classificação estatística por quartis (flag).</t>
  </si>
  <si>
    <t>Importar como tabela de fatos/dimensão no Power BI.</t>
  </si>
  <si>
    <t>Metricas_Resumo</t>
  </si>
  <si>
    <t>Tabela consolidada com fórmulas Excel (SUMIFS, COUNTIFS) para demonstrar resumos regionais.</t>
  </si>
  <si>
    <t>Usar para validar os cálculos DAX no Power BI.</t>
  </si>
  <si>
    <t>COMO IMPORTAR NO POWER BI (PASSO A PASSO)</t>
  </si>
  <si>
    <t>Etapa</t>
  </si>
  <si>
    <t>Ação Recomendada</t>
  </si>
  <si>
    <t>O que observar na aula</t>
  </si>
  <si>
    <t>1</t>
  </si>
  <si>
    <t>Abrir o Power BI Desktop e clicar em 'Obter Dados' -&gt; 'Pasta de Trabalho do Excel'.</t>
  </si>
  <si>
    <t>Explicar que o Excel é o formato corporativo mais comum de dados.</t>
  </si>
  <si>
    <t>2</t>
  </si>
  <si>
    <t>Selecionar este arquivo e marcar as caixas 'Dados_Delegacias' e 'Metricas_Resumo'.</t>
  </si>
  <si>
    <t>Mostrar que cada aba é lida pelo Power BI como uma tabela independente.</t>
  </si>
  <si>
    <t>3</t>
  </si>
  <si>
    <t>Deixar desmarcada a aba 'Visao Geral' (esta aba de instruções).</t>
  </si>
  <si>
    <t>Explicar que nem toda planilha de um arquivo Excel serve para o modelo de dados.</t>
  </si>
  <si>
    <t>4</t>
  </si>
  <si>
    <t>Clicar em 'Transformar Dados' para abrir o Power Query.</t>
  </si>
  <si>
    <t>Demonstrar a limpeza de tipos de dados (CISP como número, etc.).</t>
  </si>
  <si>
    <t>5</t>
  </si>
  <si>
    <t>Na aba de Relacionamentos, conectar o CISP com outras dimensões (se houver).</t>
  </si>
  <si>
    <t>Explicar relacionamentos um-para-muitos (1:N) e integridade referencial.</t>
  </si>
  <si>
    <t>6</t>
  </si>
  <si>
    <t>Criar medidas DAX com SUM e CALCULATE para validar contra a aba 'Metricas_Resumo'.</t>
  </si>
  <si>
    <t>Demonstrar que o DAX dinâmico substitui fórmulas estáticas do Excel de forma robusta.</t>
  </si>
  <si>
    <t>Nota Pedagógica:</t>
  </si>
  <si>
    <t>Este arquivo foi estruturado intencionalmente com múltiplas abas para demonstrar a capacidade de extração de tabelas distintas de uma mesma fonte de dados, evidenciando as limitações do formato CSV (que é limitado a apenas uma única planilha).</t>
  </si>
  <si>
    <t>BASE TRANSACIONAL - ROUBO DE VEÍCULOS POR DELEGACIA (RJ)</t>
  </si>
  <si>
    <t>CISP</t>
  </si>
  <si>
    <t>Nome da Delegacia</t>
  </si>
  <si>
    <t>Município</t>
  </si>
  <si>
    <t>Região</t>
  </si>
  <si>
    <t>Roubos de Veículos</t>
  </si>
  <si>
    <t>Flag (Criticidade)</t>
  </si>
  <si>
    <t>001 DP - Praça da República</t>
  </si>
  <si>
    <t>Rio de Janeiro</t>
  </si>
  <si>
    <t>Capital</t>
  </si>
  <si>
    <t>medio</t>
  </si>
  <si>
    <t>004 DP - Praça da República</t>
  </si>
  <si>
    <t>005 DP - Mem de Sá</t>
  </si>
  <si>
    <t>009 DP - Catete</t>
  </si>
  <si>
    <t>mais</t>
  </si>
  <si>
    <t>012 DP - Copacabana</t>
  </si>
  <si>
    <t>016 DP - Barra da Tijuca</t>
  </si>
  <si>
    <t>019 DP - Tijuca</t>
  </si>
  <si>
    <t>021 DP - Bonsucesso</t>
  </si>
  <si>
    <t>022 DP - Penha</t>
  </si>
  <si>
    <t>027 DP - Vicente de Carvalho</t>
  </si>
  <si>
    <t>035 DP - Campo Grande</t>
  </si>
  <si>
    <t>041 DP - Madureira</t>
  </si>
  <si>
    <t>054 DP - Belford Roxo</t>
  </si>
  <si>
    <t>Belford Roxo</t>
  </si>
  <si>
    <t>Baixada Fluminense</t>
  </si>
  <si>
    <t>059 DP - Duque de Caxias</t>
  </si>
  <si>
    <t>Duque de Caxias</t>
  </si>
  <si>
    <t>060 DP - Campos Elíseos</t>
  </si>
  <si>
    <t>061 DP - Xerém</t>
  </si>
  <si>
    <t>062 DP - Imbariê</t>
  </si>
  <si>
    <t>052 DP - Nova Iguaçu</t>
  </si>
  <si>
    <t>Nova Iguaçu</t>
  </si>
  <si>
    <t>053 DP - Mesquita</t>
  </si>
  <si>
    <t>Mesquita</t>
  </si>
  <si>
    <t>055 DP - Queimados</t>
  </si>
  <si>
    <t>Queimados</t>
  </si>
  <si>
    <t>056 DP - Comendador Soares</t>
  </si>
  <si>
    <t>057 DP - Nilópolis</t>
  </si>
  <si>
    <t>Nilópolis</t>
  </si>
  <si>
    <t>058 DP - Posse</t>
  </si>
  <si>
    <t>064 DP - São João de Meriti</t>
  </si>
  <si>
    <t>São João de Meriti</t>
  </si>
  <si>
    <t>071 DP - Itaboraí</t>
  </si>
  <si>
    <t>Itaboraí</t>
  </si>
  <si>
    <t>Leste Fluminense</t>
  </si>
  <si>
    <t>072 DP - São Gonçalo</t>
  </si>
  <si>
    <t>São Gonçalo</t>
  </si>
  <si>
    <t>073 DP - Neves</t>
  </si>
  <si>
    <t>menos</t>
  </si>
  <si>
    <t>074 DP - Alcântara</t>
  </si>
  <si>
    <t>076 DP - Niterói</t>
  </si>
  <si>
    <t>Niterói</t>
  </si>
  <si>
    <t>077 DP - Icaraí</t>
  </si>
  <si>
    <t>078 DP - Fonseca</t>
  </si>
  <si>
    <t>079 DP - Jurujuba</t>
  </si>
  <si>
    <t>082 DP - Maricá</t>
  </si>
  <si>
    <t>Maricá</t>
  </si>
  <si>
    <t>088 DP - Barra do Piraí</t>
  </si>
  <si>
    <t>Barra do Piraí</t>
  </si>
  <si>
    <t>Sul Fluminense</t>
  </si>
  <si>
    <t>090 DP - Barra Mansa</t>
  </si>
  <si>
    <t>Barra Mansa</t>
  </si>
  <si>
    <t>093 DP - Volta Redonda</t>
  </si>
  <si>
    <t>Volta Redonda</t>
  </si>
  <si>
    <t>105 DP - Petrópolis</t>
  </si>
  <si>
    <t>Petrópolis</t>
  </si>
  <si>
    <t>Região Serrana</t>
  </si>
  <si>
    <t>106 DP - Itaipava</t>
  </si>
  <si>
    <t>110 DP - Teresópolis</t>
  </si>
  <si>
    <t>Teresópolis</t>
  </si>
  <si>
    <t>126 DP - Cabo Frio</t>
  </si>
  <si>
    <t>Cabo Frio</t>
  </si>
  <si>
    <t>Baixada Litorânea</t>
  </si>
  <si>
    <t>127 DP - Armação de Búzios</t>
  </si>
  <si>
    <t>Armação de Búzios</t>
  </si>
  <si>
    <t>134 DP - Campos dos Goytacazes</t>
  </si>
  <si>
    <t>Campos dos Goytacazes</t>
  </si>
  <si>
    <t>Norte Fluminense</t>
  </si>
  <si>
    <t>RESUMO ESTATÍSTICO POR REGIÃO DO ESTADO (CONSOLIDADO)</t>
  </si>
  <si>
    <t>Nº de Delegacias (CISP)</t>
  </si>
  <si>
    <t>Total de Roubos</t>
  </si>
  <si>
    <t>Participação (%)</t>
  </si>
  <si>
    <t>Média de Roubos/DP</t>
  </si>
  <si>
    <t>Máximo Ocorrências</t>
  </si>
  <si>
    <t>Mínimo Ocorrências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</si>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</sst>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3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i/>
      <sz val="9"/>
      <color rgb="FF7F7F7F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sz val="11"/>
      <color rgb="FF000000"/>
      <name val="Calibri"/>
    </font>
    <font>
      <u/>
      <sz val="11"/>
      <color rgb="FF0563C1"/>
      <name val="Calibri"/>
    </font>
    <font>
      <b/>
      <sz val="11"/>
      <color rgb="FF000000"/>
      <name val="Calibri"/>
    </font>
    <font>
      <b/>
      <sz val="11"/>
      <color rgb="FF7F6000"/>
      <name val="Calibri"/>
    </font>
    <font>
      <b/>
      <sz val="11"/>
      <color rgb="FFC65911"/>
      <name val="Calibri"/>
    </font>
    <font>
      <b/>
      <sz val="11"/>
      <color rgb="FF375623"/>
      <name val="Calibri"/>
    </font>
    <font>
      <b/>
      <sz val="11"/>
      <color rgb="FF1F4E7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/>
      <right/>
      <top style="thin">
        <color rgb="FFD9D9D9"/>
      </top>
      <bottom style="medium">
        <color rgb="FF1F4E7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8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/>
    </xf>
    <xf numFmtId="0" fontId="10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165" fontId="6" fillId="7" borderId="2" xfId="0" applyNumberFormat="1" applyFont="1" applyFill="1" applyBorder="1" applyAlignment="1">
      <alignment horizontal="right" vertical="center"/>
    </xf>
    <xf numFmtId="0" fontId="12" fillId="8" borderId="3" xfId="0" applyFont="1" applyFill="1" applyBorder="1" applyAlignment="1">
      <alignment horizontal="left" vertical="center"/>
    </xf>
    <xf numFmtId="3" fontId="12" fillId="8" borderId="3" xfId="0" applyNumberFormat="1" applyFont="1" applyFill="1" applyBorder="1" applyAlignment="1">
      <alignment horizontal="right" vertical="center"/>
    </xf>
    <xf numFmtId="164" fontId="12" fillId="8" borderId="3" xfId="0" applyNumberFormat="1" applyFont="1" applyFill="1" applyBorder="1" applyAlignment="1">
      <alignment horizontal="right" vertical="center"/>
    </xf>
    <xf numFmtId="165" fontId="12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2"/>
  <sheetViews>
    <sheetView showGridLines="0" tabSelected="1" workbookViewId="0"/>
  </sheetViews>
  <sheetFormatPr defaultRowHeight="15"/>
  <cols>
    <col min="1" max="1" width="3" customWidth="1"/>
    <col min="2" max="2" width="20" customWidth="1"/>
    <col min="3" max="3" width="40" customWidth="1"/>
    <col min="4" max="4" width="45" customWidth="1"/>
    <col min="5" max="5" width="40" customWidth="1"/>
  </cols>
  <sheetData>
    <row r="2" spans="2:5">
      <c r="B2" s="1" t="s">
        <v>0</v>
      </c>
    </row>
    <row r="3" spans="2:5">
      <c r="B3" s="2" t="s">
        <v>1</v>
      </c>
    </row>
    <row r="4" spans="2:5">
      <c r="B4" s="2" t="s">
        <v>2</v>
      </c>
    </row>
    <row r="5" spans="2:5">
      <c r="B5" s="3" t="s">
        <v>3</v>
      </c>
    </row>
    <row r="7" spans="2:5">
      <c r="B7" s="4" t="s">
        <v>4</v>
      </c>
    </row>
    <row r="8" spans="2:5">
      <c r="B8" s="5" t="s">
        <v>5</v>
      </c>
      <c r="C8" s="5" t="s">
        <v>6</v>
      </c>
      <c r="D8" s="5" t="s">
        <v>7</v>
      </c>
      <c r="E8" s="5" t="s">
        <v>8</v>
      </c>
    </row>
    <row r="9" spans="2:5">
      <c r="B9" s="6" t="s">
        <v>9</v>
      </c>
      <c r="C9" s="7" t="str">
        <f>HYPERLINK("#Dados_Delegacias!A1", "Acessar Aba Dados")</f>
        <v/>
      </c>
      <c r="D9" s="6" t="s">
        <v>10</v>
      </c>
      <c r="E9" s="6" t="s">
        <v>11</v>
      </c>
    </row>
    <row r="10" spans="2:5">
      <c r="B10" s="8" t="s">
        <v>12</v>
      </c>
      <c r="C10" s="9" t="str">
        <f>HYPERLINK("#Metricas_Resumo!A1", "Acessar Aba Resumo")</f>
        <v/>
      </c>
      <c r="D10" s="8" t="s">
        <v>13</v>
      </c>
      <c r="E10" s="8" t="s">
        <v>14</v>
      </c>
    </row>
    <row r="13" spans="2:5">
      <c r="B13" s="4" t="s">
        <v>15</v>
      </c>
    </row>
    <row r="14" spans="2:5">
      <c r="B14" s="10" t="s">
        <v>16</v>
      </c>
      <c r="C14" s="10" t="s">
        <v>17</v>
      </c>
      <c r="D14" s="10" t="s">
        <v>18</v>
      </c>
    </row>
    <row r="15" spans="2:5">
      <c r="B15" s="11" t="s">
        <v>19</v>
      </c>
      <c r="C15" s="12" t="s">
        <v>20</v>
      </c>
      <c r="D15" s="12" t="s">
        <v>21</v>
      </c>
    </row>
    <row r="16" spans="2:5">
      <c r="B16" s="13" t="s">
        <v>22</v>
      </c>
      <c r="C16" s="14" t="s">
        <v>23</v>
      </c>
      <c r="D16" s="14" t="s">
        <v>24</v>
      </c>
    </row>
    <row r="17" spans="2:4">
      <c r="B17" s="11" t="s">
        <v>25</v>
      </c>
      <c r="C17" s="12" t="s">
        <v>26</v>
      </c>
      <c r="D17" s="12" t="s">
        <v>27</v>
      </c>
    </row>
    <row r="18" spans="2:4">
      <c r="B18" s="13" t="s">
        <v>28</v>
      </c>
      <c r="C18" s="14" t="s">
        <v>29</v>
      </c>
      <c r="D18" s="14" t="s">
        <v>30</v>
      </c>
    </row>
    <row r="19" spans="2:4">
      <c r="B19" s="11" t="s">
        <v>31</v>
      </c>
      <c r="C19" s="12" t="s">
        <v>32</v>
      </c>
      <c r="D19" s="12" t="s">
        <v>33</v>
      </c>
    </row>
    <row r="20" spans="2:4">
      <c r="B20" s="13" t="s">
        <v>34</v>
      </c>
      <c r="C20" s="14" t="s">
        <v>35</v>
      </c>
      <c r="D20" s="14" t="s">
        <v>36</v>
      </c>
    </row>
    <row r="22" spans="2:4">
      <c r="B22" s="15" t="s">
        <v>37</v>
      </c>
      <c r="C22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32" customWidth="1"/>
    <col min="3" max="4" width="25" customWidth="1"/>
    <col min="5" max="6" width="18" customWidth="1"/>
  </cols>
  <sheetData>
    <row r="1" spans="1:6" ht="24.95" customHeight="1">
      <c r="A1" s="4" t="s">
        <v>39</v>
      </c>
    </row>
    <row r="3" spans="1:6">
      <c r="A3" s="16" t="s">
        <v>40</v>
      </c>
      <c r="B3" s="5" t="s">
        <v>41</v>
      </c>
      <c r="C3" s="5" t="s">
        <v>42</v>
      </c>
      <c r="D3" s="5" t="s">
        <v>43</v>
      </c>
      <c r="E3" s="17" t="s">
        <v>44</v>
      </c>
      <c r="F3" s="16" t="s">
        <v>45</v>
      </c>
    </row>
    <row r="4" spans="1:6" ht="18.95" customHeight="1">
      <c r="A4" s="18">
        <v>1</v>
      </c>
      <c r="B4" s="8" t="s">
        <v>46</v>
      </c>
      <c r="C4" s="8" t="s">
        <v>47</v>
      </c>
      <c r="D4" s="8" t="s">
        <v>48</v>
      </c>
      <c r="E4" s="19">
        <v>232</v>
      </c>
      <c r="F4" s="20" t="s">
        <v>49</v>
      </c>
    </row>
    <row r="5" spans="1:6" ht="18.95" customHeight="1">
      <c r="A5" s="21">
        <v>4</v>
      </c>
      <c r="B5" s="6" t="s">
        <v>50</v>
      </c>
      <c r="C5" s="6" t="s">
        <v>47</v>
      </c>
      <c r="D5" s="6" t="s">
        <v>48</v>
      </c>
      <c r="E5" s="22">
        <v>203</v>
      </c>
      <c r="F5" s="20" t="s">
        <v>49</v>
      </c>
    </row>
    <row r="6" spans="1:6" ht="18.95" customHeight="1">
      <c r="A6" s="18">
        <v>5</v>
      </c>
      <c r="B6" s="8" t="s">
        <v>51</v>
      </c>
      <c r="C6" s="8" t="s">
        <v>47</v>
      </c>
      <c r="D6" s="8" t="s">
        <v>48</v>
      </c>
      <c r="E6" s="19">
        <v>239</v>
      </c>
      <c r="F6" s="20" t="s">
        <v>49</v>
      </c>
    </row>
    <row r="7" spans="1:6" ht="18.95" customHeight="1">
      <c r="A7" s="21">
        <v>9</v>
      </c>
      <c r="B7" s="6" t="s">
        <v>52</v>
      </c>
      <c r="C7" s="6" t="s">
        <v>47</v>
      </c>
      <c r="D7" s="6" t="s">
        <v>48</v>
      </c>
      <c r="E7" s="22">
        <v>278</v>
      </c>
      <c r="F7" s="23" t="s">
        <v>53</v>
      </c>
    </row>
    <row r="8" spans="1:6" ht="18.95" customHeight="1">
      <c r="A8" s="18">
        <v>12</v>
      </c>
      <c r="B8" s="8" t="s">
        <v>54</v>
      </c>
      <c r="C8" s="8" t="s">
        <v>47</v>
      </c>
      <c r="D8" s="8" t="s">
        <v>48</v>
      </c>
      <c r="E8" s="19">
        <v>199</v>
      </c>
      <c r="F8" s="20" t="s">
        <v>49</v>
      </c>
    </row>
    <row r="9" spans="1:6" ht="18.95" customHeight="1">
      <c r="A9" s="21">
        <v>16</v>
      </c>
      <c r="B9" s="6" t="s">
        <v>55</v>
      </c>
      <c r="C9" s="6" t="s">
        <v>47</v>
      </c>
      <c r="D9" s="6" t="s">
        <v>48</v>
      </c>
      <c r="E9" s="22">
        <v>199</v>
      </c>
      <c r="F9" s="20" t="s">
        <v>49</v>
      </c>
    </row>
    <row r="10" spans="1:6" ht="18.95" customHeight="1">
      <c r="A10" s="18">
        <v>19</v>
      </c>
      <c r="B10" s="8" t="s">
        <v>56</v>
      </c>
      <c r="C10" s="8" t="s">
        <v>47</v>
      </c>
      <c r="D10" s="8" t="s">
        <v>48</v>
      </c>
      <c r="E10" s="19">
        <v>281</v>
      </c>
      <c r="F10" s="23" t="s">
        <v>53</v>
      </c>
    </row>
    <row r="11" spans="1:6" ht="18.95" customHeight="1">
      <c r="A11" s="21">
        <v>21</v>
      </c>
      <c r="B11" s="6" t="s">
        <v>57</v>
      </c>
      <c r="C11" s="6" t="s">
        <v>47</v>
      </c>
      <c r="D11" s="6" t="s">
        <v>48</v>
      </c>
      <c r="E11" s="22">
        <v>244</v>
      </c>
      <c r="F11" s="20" t="s">
        <v>49</v>
      </c>
    </row>
    <row r="12" spans="1:6" ht="18.95" customHeight="1">
      <c r="A12" s="18">
        <v>22</v>
      </c>
      <c r="B12" s="8" t="s">
        <v>58</v>
      </c>
      <c r="C12" s="8" t="s">
        <v>47</v>
      </c>
      <c r="D12" s="8" t="s">
        <v>48</v>
      </c>
      <c r="E12" s="19">
        <v>188</v>
      </c>
      <c r="F12" s="20" t="s">
        <v>49</v>
      </c>
    </row>
    <row r="13" spans="1:6" ht="18.95" customHeight="1">
      <c r="A13" s="21">
        <v>27</v>
      </c>
      <c r="B13" s="6" t="s">
        <v>59</v>
      </c>
      <c r="C13" s="6" t="s">
        <v>47</v>
      </c>
      <c r="D13" s="6" t="s">
        <v>48</v>
      </c>
      <c r="E13" s="22">
        <v>234</v>
      </c>
      <c r="F13" s="20" t="s">
        <v>49</v>
      </c>
    </row>
    <row r="14" spans="1:6" ht="18.95" customHeight="1">
      <c r="A14" s="18">
        <v>35</v>
      </c>
      <c r="B14" s="8" t="s">
        <v>60</v>
      </c>
      <c r="C14" s="8" t="s">
        <v>47</v>
      </c>
      <c r="D14" s="8" t="s">
        <v>48</v>
      </c>
      <c r="E14" s="19">
        <v>189</v>
      </c>
      <c r="F14" s="20" t="s">
        <v>49</v>
      </c>
    </row>
    <row r="15" spans="1:6" ht="18.95" customHeight="1">
      <c r="A15" s="21">
        <v>41</v>
      </c>
      <c r="B15" s="6" t="s">
        <v>61</v>
      </c>
      <c r="C15" s="6" t="s">
        <v>47</v>
      </c>
      <c r="D15" s="6" t="s">
        <v>48</v>
      </c>
      <c r="E15" s="22">
        <v>189</v>
      </c>
      <c r="F15" s="20" t="s">
        <v>49</v>
      </c>
    </row>
    <row r="16" spans="1:6" ht="18.95" customHeight="1">
      <c r="A16" s="18">
        <v>54</v>
      </c>
      <c r="B16" s="8" t="s">
        <v>62</v>
      </c>
      <c r="C16" s="8" t="s">
        <v>63</v>
      </c>
      <c r="D16" s="8" t="s">
        <v>64</v>
      </c>
      <c r="E16" s="19">
        <v>332</v>
      </c>
      <c r="F16" s="23" t="s">
        <v>53</v>
      </c>
    </row>
    <row r="17" spans="1:6" ht="18.95" customHeight="1">
      <c r="A17" s="21">
        <v>59</v>
      </c>
      <c r="B17" s="6" t="s">
        <v>65</v>
      </c>
      <c r="C17" s="6" t="s">
        <v>66</v>
      </c>
      <c r="D17" s="6" t="s">
        <v>64</v>
      </c>
      <c r="E17" s="22">
        <v>224</v>
      </c>
      <c r="F17" s="20" t="s">
        <v>49</v>
      </c>
    </row>
    <row r="18" spans="1:6" ht="18.95" customHeight="1">
      <c r="A18" s="18">
        <v>60</v>
      </c>
      <c r="B18" s="8" t="s">
        <v>67</v>
      </c>
      <c r="C18" s="8" t="s">
        <v>66</v>
      </c>
      <c r="D18" s="8" t="s">
        <v>64</v>
      </c>
      <c r="E18" s="19">
        <v>233</v>
      </c>
      <c r="F18" s="20" t="s">
        <v>49</v>
      </c>
    </row>
    <row r="19" spans="1:6" ht="18.95" customHeight="1">
      <c r="A19" s="21">
        <v>61</v>
      </c>
      <c r="B19" s="6" t="s">
        <v>68</v>
      </c>
      <c r="C19" s="6" t="s">
        <v>66</v>
      </c>
      <c r="D19" s="6" t="s">
        <v>64</v>
      </c>
      <c r="E19" s="22">
        <v>291</v>
      </c>
      <c r="F19" s="23" t="s">
        <v>53</v>
      </c>
    </row>
    <row r="20" spans="1:6" ht="18.95" customHeight="1">
      <c r="A20" s="18">
        <v>62</v>
      </c>
      <c r="B20" s="8" t="s">
        <v>69</v>
      </c>
      <c r="C20" s="8" t="s">
        <v>66</v>
      </c>
      <c r="D20" s="8" t="s">
        <v>64</v>
      </c>
      <c r="E20" s="19">
        <v>269</v>
      </c>
      <c r="F20" s="23" t="s">
        <v>53</v>
      </c>
    </row>
    <row r="21" spans="1:6" ht="18.95" customHeight="1">
      <c r="A21" s="21">
        <v>52</v>
      </c>
      <c r="B21" s="6" t="s">
        <v>70</v>
      </c>
      <c r="C21" s="6" t="s">
        <v>71</v>
      </c>
      <c r="D21" s="6" t="s">
        <v>64</v>
      </c>
      <c r="E21" s="22">
        <v>335</v>
      </c>
      <c r="F21" s="23" t="s">
        <v>53</v>
      </c>
    </row>
    <row r="22" spans="1:6" ht="18.95" customHeight="1">
      <c r="A22" s="18">
        <v>53</v>
      </c>
      <c r="B22" s="8" t="s">
        <v>72</v>
      </c>
      <c r="C22" s="8" t="s">
        <v>73</v>
      </c>
      <c r="D22" s="8" t="s">
        <v>64</v>
      </c>
      <c r="E22" s="19">
        <v>274</v>
      </c>
      <c r="F22" s="23" t="s">
        <v>53</v>
      </c>
    </row>
    <row r="23" spans="1:6" ht="18.95" customHeight="1">
      <c r="A23" s="21">
        <v>55</v>
      </c>
      <c r="B23" s="6" t="s">
        <v>74</v>
      </c>
      <c r="C23" s="6" t="s">
        <v>75</v>
      </c>
      <c r="D23" s="6" t="s">
        <v>64</v>
      </c>
      <c r="E23" s="22">
        <v>249</v>
      </c>
      <c r="F23" s="23" t="s">
        <v>53</v>
      </c>
    </row>
    <row r="24" spans="1:6" ht="18.95" customHeight="1">
      <c r="A24" s="18">
        <v>56</v>
      </c>
      <c r="B24" s="8" t="s">
        <v>76</v>
      </c>
      <c r="C24" s="8" t="s">
        <v>71</v>
      </c>
      <c r="D24" s="8" t="s">
        <v>64</v>
      </c>
      <c r="E24" s="19">
        <v>393</v>
      </c>
      <c r="F24" s="23" t="s">
        <v>53</v>
      </c>
    </row>
    <row r="25" spans="1:6" ht="18.95" customHeight="1">
      <c r="A25" s="21">
        <v>57</v>
      </c>
      <c r="B25" s="6" t="s">
        <v>77</v>
      </c>
      <c r="C25" s="6" t="s">
        <v>78</v>
      </c>
      <c r="D25" s="6" t="s">
        <v>64</v>
      </c>
      <c r="E25" s="22">
        <v>308</v>
      </c>
      <c r="F25" s="23" t="s">
        <v>53</v>
      </c>
    </row>
    <row r="26" spans="1:6" ht="18.95" customHeight="1">
      <c r="A26" s="18">
        <v>58</v>
      </c>
      <c r="B26" s="8" t="s">
        <v>79</v>
      </c>
      <c r="C26" s="8" t="s">
        <v>71</v>
      </c>
      <c r="D26" s="8" t="s">
        <v>64</v>
      </c>
      <c r="E26" s="19">
        <v>323</v>
      </c>
      <c r="F26" s="23" t="s">
        <v>53</v>
      </c>
    </row>
    <row r="27" spans="1:6" ht="18.95" customHeight="1">
      <c r="A27" s="21">
        <v>64</v>
      </c>
      <c r="B27" s="6" t="s">
        <v>80</v>
      </c>
      <c r="C27" s="6" t="s">
        <v>81</v>
      </c>
      <c r="D27" s="6" t="s">
        <v>64</v>
      </c>
      <c r="E27" s="22">
        <v>248</v>
      </c>
      <c r="F27" s="20" t="s">
        <v>49</v>
      </c>
    </row>
    <row r="28" spans="1:6" ht="18.95" customHeight="1">
      <c r="A28" s="18">
        <v>71</v>
      </c>
      <c r="B28" s="8" t="s">
        <v>82</v>
      </c>
      <c r="C28" s="8" t="s">
        <v>83</v>
      </c>
      <c r="D28" s="8" t="s">
        <v>84</v>
      </c>
      <c r="E28" s="19">
        <v>140</v>
      </c>
      <c r="F28" s="20" t="s">
        <v>49</v>
      </c>
    </row>
    <row r="29" spans="1:6" ht="18.95" customHeight="1">
      <c r="A29" s="21">
        <v>72</v>
      </c>
      <c r="B29" s="6" t="s">
        <v>85</v>
      </c>
      <c r="C29" s="6" t="s">
        <v>86</v>
      </c>
      <c r="D29" s="6" t="s">
        <v>84</v>
      </c>
      <c r="E29" s="22">
        <v>163</v>
      </c>
      <c r="F29" s="20" t="s">
        <v>49</v>
      </c>
    </row>
    <row r="30" spans="1:6" ht="18.95" customHeight="1">
      <c r="A30" s="18">
        <v>73</v>
      </c>
      <c r="B30" s="8" t="s">
        <v>87</v>
      </c>
      <c r="C30" s="8" t="s">
        <v>86</v>
      </c>
      <c r="D30" s="8" t="s">
        <v>84</v>
      </c>
      <c r="E30" s="19">
        <v>119</v>
      </c>
      <c r="F30" s="24" t="s">
        <v>88</v>
      </c>
    </row>
    <row r="31" spans="1:6" ht="18.95" customHeight="1">
      <c r="A31" s="21">
        <v>74</v>
      </c>
      <c r="B31" s="6" t="s">
        <v>89</v>
      </c>
      <c r="C31" s="6" t="s">
        <v>86</v>
      </c>
      <c r="D31" s="6" t="s">
        <v>84</v>
      </c>
      <c r="E31" s="22">
        <v>173</v>
      </c>
      <c r="F31" s="20" t="s">
        <v>49</v>
      </c>
    </row>
    <row r="32" spans="1:6" ht="18.95" customHeight="1">
      <c r="A32" s="18">
        <v>76</v>
      </c>
      <c r="B32" s="8" t="s">
        <v>90</v>
      </c>
      <c r="C32" s="8" t="s">
        <v>91</v>
      </c>
      <c r="D32" s="8" t="s">
        <v>84</v>
      </c>
      <c r="E32" s="19">
        <v>138</v>
      </c>
      <c r="F32" s="24" t="s">
        <v>88</v>
      </c>
    </row>
    <row r="33" spans="1:6" ht="18.95" customHeight="1">
      <c r="A33" s="21">
        <v>77</v>
      </c>
      <c r="B33" s="6" t="s">
        <v>92</v>
      </c>
      <c r="C33" s="6" t="s">
        <v>91</v>
      </c>
      <c r="D33" s="6" t="s">
        <v>84</v>
      </c>
      <c r="E33" s="22">
        <v>149</v>
      </c>
      <c r="F33" s="20" t="s">
        <v>49</v>
      </c>
    </row>
    <row r="34" spans="1:6" ht="18.95" customHeight="1">
      <c r="A34" s="18">
        <v>78</v>
      </c>
      <c r="B34" s="8" t="s">
        <v>93</v>
      </c>
      <c r="C34" s="8" t="s">
        <v>91</v>
      </c>
      <c r="D34" s="8" t="s">
        <v>84</v>
      </c>
      <c r="E34" s="19">
        <v>138</v>
      </c>
      <c r="F34" s="24" t="s">
        <v>88</v>
      </c>
    </row>
    <row r="35" spans="1:6" ht="18.95" customHeight="1">
      <c r="A35" s="21">
        <v>79</v>
      </c>
      <c r="B35" s="6" t="s">
        <v>94</v>
      </c>
      <c r="C35" s="6" t="s">
        <v>91</v>
      </c>
      <c r="D35" s="6" t="s">
        <v>84</v>
      </c>
      <c r="E35" s="22">
        <v>224</v>
      </c>
      <c r="F35" s="20" t="s">
        <v>49</v>
      </c>
    </row>
    <row r="36" spans="1:6" ht="18.95" customHeight="1">
      <c r="A36" s="18">
        <v>82</v>
      </c>
      <c r="B36" s="8" t="s">
        <v>95</v>
      </c>
      <c r="C36" s="8" t="s">
        <v>96</v>
      </c>
      <c r="D36" s="8" t="s">
        <v>84</v>
      </c>
      <c r="E36" s="19">
        <v>159</v>
      </c>
      <c r="F36" s="20" t="s">
        <v>49</v>
      </c>
    </row>
    <row r="37" spans="1:6" ht="18.95" customHeight="1">
      <c r="A37" s="21">
        <v>88</v>
      </c>
      <c r="B37" s="6" t="s">
        <v>97</v>
      </c>
      <c r="C37" s="6" t="s">
        <v>98</v>
      </c>
      <c r="D37" s="6" t="s">
        <v>99</v>
      </c>
      <c r="E37" s="22">
        <v>14</v>
      </c>
      <c r="F37" s="24" t="s">
        <v>88</v>
      </c>
    </row>
    <row r="38" spans="1:6" ht="18.95" customHeight="1">
      <c r="A38" s="18">
        <v>90</v>
      </c>
      <c r="B38" s="8" t="s">
        <v>100</v>
      </c>
      <c r="C38" s="8" t="s">
        <v>101</v>
      </c>
      <c r="D38" s="8" t="s">
        <v>99</v>
      </c>
      <c r="E38" s="19">
        <v>33</v>
      </c>
      <c r="F38" s="24" t="s">
        <v>88</v>
      </c>
    </row>
    <row r="39" spans="1:6" ht="18.95" customHeight="1">
      <c r="A39" s="21">
        <v>93</v>
      </c>
      <c r="B39" s="6" t="s">
        <v>102</v>
      </c>
      <c r="C39" s="6" t="s">
        <v>103</v>
      </c>
      <c r="D39" s="6" t="s">
        <v>99</v>
      </c>
      <c r="E39" s="22">
        <v>12</v>
      </c>
      <c r="F39" s="24" t="s">
        <v>88</v>
      </c>
    </row>
    <row r="40" spans="1:6" ht="18.95" customHeight="1">
      <c r="A40" s="18">
        <v>105</v>
      </c>
      <c r="B40" s="8" t="s">
        <v>104</v>
      </c>
      <c r="C40" s="8" t="s">
        <v>105</v>
      </c>
      <c r="D40" s="8" t="s">
        <v>106</v>
      </c>
      <c r="E40" s="19">
        <v>27</v>
      </c>
      <c r="F40" s="24" t="s">
        <v>88</v>
      </c>
    </row>
    <row r="41" spans="1:6" ht="18.95" customHeight="1">
      <c r="A41" s="21">
        <v>106</v>
      </c>
      <c r="B41" s="6" t="s">
        <v>107</v>
      </c>
      <c r="C41" s="6" t="s">
        <v>105</v>
      </c>
      <c r="D41" s="6" t="s">
        <v>106</v>
      </c>
      <c r="E41" s="22">
        <v>5</v>
      </c>
      <c r="F41" s="24" t="s">
        <v>88</v>
      </c>
    </row>
    <row r="42" spans="1:6" ht="18.95" customHeight="1">
      <c r="A42" s="18">
        <v>110</v>
      </c>
      <c r="B42" s="8" t="s">
        <v>108</v>
      </c>
      <c r="C42" s="8" t="s">
        <v>109</v>
      </c>
      <c r="D42" s="8" t="s">
        <v>106</v>
      </c>
      <c r="E42" s="19">
        <v>11</v>
      </c>
      <c r="F42" s="24" t="s">
        <v>88</v>
      </c>
    </row>
    <row r="43" spans="1:6" ht="18.95" customHeight="1">
      <c r="A43" s="21">
        <v>126</v>
      </c>
      <c r="B43" s="6" t="s">
        <v>110</v>
      </c>
      <c r="C43" s="6" t="s">
        <v>111</v>
      </c>
      <c r="D43" s="6" t="s">
        <v>112</v>
      </c>
      <c r="E43" s="22">
        <v>67</v>
      </c>
      <c r="F43" s="24" t="s">
        <v>88</v>
      </c>
    </row>
    <row r="44" spans="1:6" ht="18.95" customHeight="1">
      <c r="A44" s="18">
        <v>127</v>
      </c>
      <c r="B44" s="8" t="s">
        <v>113</v>
      </c>
      <c r="C44" s="8" t="s">
        <v>114</v>
      </c>
      <c r="D44" s="8" t="s">
        <v>112</v>
      </c>
      <c r="E44" s="19">
        <v>76</v>
      </c>
      <c r="F44" s="24" t="s">
        <v>88</v>
      </c>
    </row>
    <row r="45" spans="1:6" ht="18.95" customHeight="1">
      <c r="A45" s="21">
        <v>134</v>
      </c>
      <c r="B45" s="6" t="s">
        <v>115</v>
      </c>
      <c r="C45" s="6" t="s">
        <v>116</v>
      </c>
      <c r="D45" s="6" t="s">
        <v>117</v>
      </c>
      <c r="E45" s="22">
        <v>26</v>
      </c>
      <c r="F45" s="24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/>
  <cols>
    <col min="1" max="2" width="25" customWidth="1"/>
    <col min="3" max="4" width="18" customWidth="1"/>
    <col min="5" max="7" width="22" customWidth="1"/>
  </cols>
  <sheetData>
    <row r="1" spans="1:7" ht="24.95" customHeight="1">
      <c r="A1" s="4" t="s">
        <v>118</v>
      </c>
    </row>
    <row r="3" spans="1:7">
      <c r="A3" s="5" t="s">
        <v>43</v>
      </c>
      <c r="B3" s="17" t="s">
        <v>119</v>
      </c>
      <c r="C3" s="17" t="s">
        <v>120</v>
      </c>
      <c r="D3" s="17" t="s">
        <v>121</v>
      </c>
      <c r="E3" s="17" t="s">
        <v>122</v>
      </c>
      <c r="F3" s="17" t="s">
        <v>123</v>
      </c>
      <c r="G3" s="17" t="s">
        <v>124</v>
      </c>
    </row>
    <row r="4" spans="1:7" ht="18.95" customHeight="1">
      <c r="A4" s="8" t="s">
        <v>48</v>
      </c>
      <c r="B4" s="25" t="str">
        <f>COUNTIF(Dados_Delegacias!D$4:D$45, "Capital")</f>
        <v/>
      </c>
      <c r="C4" s="25" t="str">
        <f>SUMIF(Dados_Delegacias!D$4:D$45, "Capital", Dados_Delegacias!E$4:E$45)</f>
        <v/>
      </c>
      <c r="D4" s="26" t="str">
        <f>C4/C11</f>
        <v/>
      </c>
      <c r="E4" s="27" t="str">
        <f>AVERAGEIF(Dados_Delegacias!D$4:D$45, "Capital", Dados_Delegacias!E$4:E$45)</f>
        <v/>
      </c>
      <c r="F4" s="25" t="str">
        <f>_xlfn.MAXIFS(Dados_Delegacias!E$4:E$45, Dados_Delegacias!D$4:D$45, "Capital")</f>
        <v/>
      </c>
      <c r="G4" s="25" t="str">
        <f>_xlfn.MINIFS(Dados_Delegacias!E$4:E$45, Dados_Delegacias!D$4:D$45, "Capital")</f>
        <v/>
      </c>
    </row>
    <row r="5" spans="1:7" ht="18.95" customHeight="1">
      <c r="A5" s="6" t="s">
        <v>64</v>
      </c>
      <c r="B5" s="25" t="str">
        <f>COUNTIF(Dados_Delegacias!D$4:D$45, "Baixada Fluminense")</f>
        <v/>
      </c>
      <c r="C5" s="25" t="str">
        <f>SUMIF(Dados_Delegacias!D$4:D$45, "Baixada Fluminense", Dados_Delegacias!E$4:E$45)</f>
        <v/>
      </c>
      <c r="D5" s="26" t="str">
        <f>C5/C11</f>
        <v/>
      </c>
      <c r="E5" s="27" t="str">
        <f>AVERAGEIF(Dados_Delegacias!D$4:D$45, "Baixada Fluminense", Dados_Delegacias!E$4:E$45)</f>
        <v/>
      </c>
      <c r="F5" s="25" t="str">
        <f>_xlfn.MAXIFS(Dados_Delegacias!E$4:E$45, Dados_Delegacias!D$4:D$45, "Baixada Fluminense")</f>
        <v/>
      </c>
      <c r="G5" s="25" t="str">
        <f>_xlfn.MINIFS(Dados_Delegacias!E$4:E$45, Dados_Delegacias!D$4:D$45, "Baixada Fluminense")</f>
        <v/>
      </c>
    </row>
    <row r="6" spans="1:7" ht="18.95" customHeight="1">
      <c r="A6" s="8" t="s">
        <v>84</v>
      </c>
      <c r="B6" s="25" t="str">
        <f>COUNTIF(Dados_Delegacias!D$4:D$45, "Leste Fluminense")</f>
        <v/>
      </c>
      <c r="C6" s="25" t="str">
        <f>SUMIF(Dados_Delegacias!D$4:D$45, "Leste Fluminense", Dados_Delegacias!E$4:E$45)</f>
        <v/>
      </c>
      <c r="D6" s="26" t="str">
        <f>C6/C11</f>
        <v/>
      </c>
      <c r="E6" s="27" t="str">
        <f>AVERAGEIF(Dados_Delegacias!D$4:D$45, "Leste Fluminense", Dados_Delegacias!E$4:E$45)</f>
        <v/>
      </c>
      <c r="F6" s="25" t="str">
        <f>_xlfn.MAXIFS(Dados_Delegacias!E$4:E$45, Dados_Delegacias!D$4:D$45, "Leste Fluminense")</f>
        <v/>
      </c>
      <c r="G6" s="25" t="str">
        <f>_xlfn.MINIFS(Dados_Delegacias!E$4:E$45, Dados_Delegacias!D$4:D$45, "Leste Fluminense")</f>
        <v/>
      </c>
    </row>
    <row r="7" spans="1:7" ht="18.95" customHeight="1">
      <c r="A7" s="6" t="s">
        <v>99</v>
      </c>
      <c r="B7" s="25" t="str">
        <f>COUNTIF(Dados_Delegacias!D$4:D$45, "Sul Fluminense")</f>
        <v/>
      </c>
      <c r="C7" s="25" t="str">
        <f>SUMIF(Dados_Delegacias!D$4:D$45, "Sul Fluminense", Dados_Delegacias!E$4:E$45)</f>
        <v/>
      </c>
      <c r="D7" s="26" t="str">
        <f>C7/C11</f>
        <v/>
      </c>
      <c r="E7" s="27" t="str">
        <f>AVERAGEIF(Dados_Delegacias!D$4:D$45, "Sul Fluminense", Dados_Delegacias!E$4:E$45)</f>
        <v/>
      </c>
      <c r="F7" s="25" t="str">
        <f>_xlfn.MAXIFS(Dados_Delegacias!E$4:E$45, Dados_Delegacias!D$4:D$45, "Sul Fluminense")</f>
        <v/>
      </c>
      <c r="G7" s="25" t="str">
        <f>_xlfn.MINIFS(Dados_Delegacias!E$4:E$45, Dados_Delegacias!D$4:D$45, "Sul Fluminense")</f>
        <v/>
      </c>
    </row>
    <row r="8" spans="1:7" ht="18.95" customHeight="1">
      <c r="A8" s="8" t="s">
        <v>106</v>
      </c>
      <c r="B8" s="25" t="str">
        <f>COUNTIF(Dados_Delegacias!D$4:D$45, "Região Serrana")</f>
        <v/>
      </c>
      <c r="C8" s="25" t="str">
        <f>SUMIF(Dados_Delegacias!D$4:D$45, "Região Serrana", Dados_Delegacias!E$4:E$45)</f>
        <v/>
      </c>
      <c r="D8" s="26" t="str">
        <f>C8/C11</f>
        <v/>
      </c>
      <c r="E8" s="27" t="str">
        <f>AVERAGEIF(Dados_Delegacias!D$4:D$45, "Região Serrana", Dados_Delegacias!E$4:E$45)</f>
        <v/>
      </c>
      <c r="F8" s="25" t="str">
        <f>_xlfn.MAXIFS(Dados_Delegacias!E$4:E$45, Dados_Delegacias!D$4:D$45, "Região Serrana")</f>
        <v/>
      </c>
      <c r="G8" s="25" t="str">
        <f>_xlfn.MINIFS(Dados_Delegacias!E$4:E$45, Dados_Delegacias!D$4:D$45, "Região Serrana")</f>
        <v/>
      </c>
    </row>
    <row r="9" spans="1:7" ht="18.95" customHeight="1">
      <c r="A9" s="6" t="s">
        <v>112</v>
      </c>
      <c r="B9" s="25" t="str">
        <f>COUNTIF(Dados_Delegacias!D$4:D$45, "Baixada Litorânea")</f>
        <v/>
      </c>
      <c r="C9" s="25" t="str">
        <f>SUMIF(Dados_Delegacias!D$4:D$45, "Baixada Litorânea", Dados_Delegacias!E$4:E$45)</f>
        <v/>
      </c>
      <c r="D9" s="26" t="str">
        <f>C9/C11</f>
        <v/>
      </c>
      <c r="E9" s="27" t="str">
        <f>AVERAGEIF(Dados_Delegacias!D$4:D$45, "Baixada Litorânea", Dados_Delegacias!E$4:E$45)</f>
        <v/>
      </c>
      <c r="F9" s="25" t="str">
        <f>_xlfn.MAXIFS(Dados_Delegacias!E$4:E$45, Dados_Delegacias!D$4:D$45, "Baixada Litorânea")</f>
        <v/>
      </c>
      <c r="G9" s="25" t="str">
        <f>_xlfn.MINIFS(Dados_Delegacias!E$4:E$45, Dados_Delegacias!D$4:D$45, "Baixada Litorânea")</f>
        <v/>
      </c>
    </row>
    <row r="10" spans="1:7" ht="18.95" customHeight="1">
      <c r="A10" s="8" t="s">
        <v>117</v>
      </c>
      <c r="B10" s="25" t="str">
        <f>COUNTIF(Dados_Delegacias!D$4:D$45, "Norte Fluminense")</f>
        <v/>
      </c>
      <c r="C10" s="25" t="str">
        <f>SUMIF(Dados_Delegacias!D$4:D$45, "Norte Fluminense", Dados_Delegacias!E$4:E$45)</f>
        <v/>
      </c>
      <c r="D10" s="26" t="str">
        <f>C10/C11</f>
        <v/>
      </c>
      <c r="E10" s="27" t="str">
        <f>AVERAGEIF(Dados_Delegacias!D$4:D$45, "Norte Fluminense", Dados_Delegacias!E$4:E$45)</f>
        <v/>
      </c>
      <c r="F10" s="25" t="str">
        <f>_xlfn.MAXIFS(Dados_Delegacias!E$4:E$45, Dados_Delegacias!D$4:D$45, "Norte Fluminense")</f>
        <v/>
      </c>
      <c r="G10" s="25" t="str">
        <f>_xlfn.MINIFS(Dados_Delegacias!E$4:E$45, Dados_Delegacias!D$4:D$45, "Norte Fluminense")</f>
        <v/>
      </c>
    </row>
    <row r="11" spans="1:7" ht="21.95" customHeight="1">
      <c r="A11" s="28" t="s">
        <v>125</v>
      </c>
      <c r="B11" s="29" t="str">
        <f>SUM(B4:B10)</f>
        <v/>
      </c>
      <c r="C11" s="29" t="str">
        <f>SUM(C4:C10)</f>
        <v/>
      </c>
      <c r="D11" s="30" t="str">
        <f>SUM(D4:D10)</f>
        <v/>
      </c>
      <c r="E11" s="31" t="str">
        <f>AVERAGE(Dados_Delegacias!E$4:E$45)</f>
        <v/>
      </c>
      <c r="F11" s="29" t="str">
        <f>MAX(Dados_Delegacias!E$4:E$45)</f>
        <v/>
      </c>
      <c r="G11" s="29" t="str">
        <f>MIN(Dados_Delegacias!E$4:E$45)</f>
        <v/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270613-BAAA-4C07-8BC4-49238B26A3F7}"/>
</file>

<file path=customXml/itemProps2.xml><?xml version="1.0" encoding="utf-8"?>
<ds:datastoreItem xmlns:ds="http://schemas.openxmlformats.org/officeDocument/2006/customXml" ds:itemID="{BEB13967-BA4D-4738-BDDB-7DDFCBE1AFF7}"/>
</file>

<file path=customXml/itemProps3.xml><?xml version="1.0" encoding="utf-8"?>
<ds:datastoreItem xmlns:ds="http://schemas.openxmlformats.org/officeDocument/2006/customXml" ds:itemID="{CB2271C4-0B5C-4191-B145-4539D8857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THIAGO LACERDA DA SILVA SOUZA</cp:lastModifiedBy>
  <cp:revision/>
  <dcterms:created xsi:type="dcterms:W3CDTF">2026-08-12T20:33:50Z</dcterms:created>
  <dcterms:modified xsi:type="dcterms:W3CDTF">2026-08-12T22:50:02Z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